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Tjeksk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9C0026"/>
        <bgColor rgb="009C0026"/>
      </patternFill>
    </fill>
    <fill>
      <patternFill patternType="solid">
        <fgColor rgb="00DCE6F1"/>
        <bgColor rgb="00DCE6F1"/>
      </patternFill>
    </fill>
    <fill>
      <patternFill patternType="solid">
        <fgColor rgb="00B22E42"/>
        <bgColor rgb="00B22E42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3" fillId="6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7F7F7F"/>
      </font>
      <fill>
        <patternFill patternType="solid">
          <fgColor rgb="00EFEFEF"/>
          <b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30" customWidth="1" min="3" max="3"/>
    <col width="5" customWidth="1" min="4" max="4"/>
    <col width="25" customWidth="1" min="5" max="5"/>
    <col width="12" customWidth="1" min="6" max="6"/>
    <col width="15" customWidth="1" min="7" max="7"/>
  </cols>
  <sheetData>
    <row r="1">
      <c r="B1" s="1" t="inlineStr">
        <is>
          <t>Generated 2026-06-18 | v1.0</t>
        </is>
      </c>
    </row>
    <row r="2" ht="40" customHeight="1">
      <c r="B2" s="2" t="inlineStr">
        <is>
          <t>D-mærket: Selvevalueringsværktøj til Digitale Produkter</t>
        </is>
      </c>
    </row>
    <row r="4" ht="20" customHeight="1">
      <c r="B4" s="3" t="inlineStr">
        <is>
          <t>Virksomhed:</t>
        </is>
      </c>
      <c r="C4" s="4" t="inlineStr">
        <is>
          <t>[Indtast virksomhedsnavn]</t>
        </is>
      </c>
      <c r="E4" s="5" t="inlineStr">
        <is>
          <t>SAMLET STATUS</t>
        </is>
      </c>
    </row>
    <row r="5" ht="20" customHeight="1">
      <c r="B5" s="3" t="inlineStr">
        <is>
          <t>CVR-nummer:</t>
        </is>
      </c>
      <c r="C5" s="4" t="inlineStr">
        <is>
          <t>[Indtast CVR]</t>
        </is>
      </c>
      <c r="E5" s="6" t="inlineStr">
        <is>
          <t>Status</t>
        </is>
      </c>
      <c r="F5" s="6" t="inlineStr">
        <is>
          <t>Antal</t>
        </is>
      </c>
      <c r="G5" s="6" t="inlineStr">
        <is>
          <t>Procentdel</t>
        </is>
      </c>
    </row>
    <row r="6" ht="20" customHeight="1">
      <c r="B6" s="3" t="inlineStr">
        <is>
          <t>Digitalt Produkt:</t>
        </is>
      </c>
      <c r="C6" s="4" t="inlineStr">
        <is>
          <t>[Indtast produktnavn]</t>
        </is>
      </c>
      <c r="E6" s="7" t="inlineStr">
        <is>
          <t>Implementeret</t>
        </is>
      </c>
      <c r="F6" s="8">
        <f>COUNTIF(Tjekskema!F3:F29, "Implementeret")</f>
        <v/>
      </c>
      <c r="G6" s="9">
        <f>IFERROR(F6/(COUNTA(Tjekskema!A3:A29)-F9), 0)</f>
        <v/>
      </c>
    </row>
    <row r="7" ht="20" customHeight="1">
      <c r="B7" s="3" t="inlineStr">
        <is>
          <t>Ansvarlig person:</t>
        </is>
      </c>
      <c r="C7" s="4" t="inlineStr">
        <is>
          <t>[Indtast navn]</t>
        </is>
      </c>
      <c r="E7" s="7" t="inlineStr">
        <is>
          <t>I gang</t>
        </is>
      </c>
      <c r="F7" s="8">
        <f>COUNTIF(Tjekskema!F3:F29, "I gang")</f>
        <v/>
      </c>
      <c r="G7" s="9">
        <f>IFERROR(F7/(COUNTA(Tjekskema!A3:A29)-F9), 0)</f>
        <v/>
      </c>
    </row>
    <row r="8" ht="20" customHeight="1">
      <c r="B8" s="3" t="inlineStr">
        <is>
          <t>Dato for evaluering:</t>
        </is>
      </c>
      <c r="C8" s="4" t="inlineStr">
        <is>
          <t>2026-06-18</t>
        </is>
      </c>
      <c r="E8" s="7" t="inlineStr">
        <is>
          <t>Ikke påbegyndt</t>
        </is>
      </c>
      <c r="F8" s="8">
        <f>COUNTIF(Tjekskema!F3:F29, "Ikke påbegyndt")</f>
        <v/>
      </c>
      <c r="G8" s="9">
        <f>IFERROR(F8/(COUNTA(Tjekskema!A3:A29)-F9), 0)</f>
        <v/>
      </c>
    </row>
    <row r="9">
      <c r="E9" s="7" t="inlineStr">
        <is>
          <t>Ikke relevant</t>
        </is>
      </c>
      <c r="F9" s="8">
        <f>COUNTIF(Tjekskema!F3:F29, "Ikke relevant")</f>
        <v/>
      </c>
      <c r="G9" s="9">
        <f>IFERROR(F9/COUNTA(Tjekskema!A3:A29), 0)</f>
        <v/>
      </c>
    </row>
    <row r="11">
      <c r="E11" s="10" t="inlineStr">
        <is>
          <t>Samlet Compliance Score</t>
        </is>
      </c>
      <c r="F11" s="11" t="n"/>
      <c r="G11" s="12">
        <f>IFERROR(F6/(COUNTA(Tjekskema!A3:A29)-F9), 0)</f>
        <v/>
      </c>
    </row>
    <row r="13">
      <c r="B13" s="13" t="inlineStr">
        <is>
          <t>Vejledning til brug af tjekskemaet:</t>
        </is>
      </c>
    </row>
    <row r="14">
      <c r="B14" s="14" t="inlineStr">
        <is>
          <t>1. Dette værktøj evaluerer dit digitale produkt og tilhørende processer efter D-mærkets kriterier.</t>
        </is>
      </c>
    </row>
    <row r="15">
      <c r="B15" s="14" t="inlineStr">
        <is>
          <t>2. Skift til fanen 'Tjekskema' for at besvare status for de enkelte krav.</t>
        </is>
      </c>
    </row>
    <row r="16">
      <c r="B16" s="14" t="inlineStr">
        <is>
          <t>3. Anvend dropdown-menuen i kolonne F ('Status') til at angive status for implementeringen.</t>
        </is>
      </c>
    </row>
    <row r="17">
      <c r="B17" s="14" t="inlineStr">
        <is>
          <t>4. Udfyld 'Kommentarer &amp; Beviser' (kolonne G) med links til dokumentation eller uddybende svar.</t>
        </is>
      </c>
    </row>
    <row r="18">
      <c r="B18" s="14" t="inlineStr">
        <is>
          <t>5. Brug 'Remediation' (kolonne H) til at angive, hvad der skal gøres, hvis kravet ikke opfyldes.</t>
        </is>
      </c>
    </row>
    <row r="19">
      <c r="B19" s="14" t="inlineStr">
        <is>
          <t>6. Dashboardet her på forsiden vil automatisk opdatere din samlede compliance-score.</t>
        </is>
      </c>
    </row>
  </sheetData>
  <mergeCells count="3">
    <mergeCell ref="B2:G2"/>
    <mergeCell ref="E4:G4"/>
    <mergeCell ref="E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45" customWidth="1" min="4" max="4"/>
    <col width="45" customWidth="1" min="5" max="5"/>
    <col width="16" customWidth="1" min="6" max="6"/>
    <col width="35" customWidth="1" min="7" max="7"/>
    <col width="35" customWidth="1" min="8" max="8"/>
  </cols>
  <sheetData>
    <row r="1" ht="25" customHeight="1">
      <c r="A1" s="15" t="inlineStr">
        <is>
          <t>D-MÆRKETS STANDARDSPECIFIKATIONER</t>
        </is>
      </c>
      <c r="F1" s="16" t="inlineStr">
        <is>
          <t>PRODUKT SELVEVALUERING (UDFYLD HER)</t>
        </is>
      </c>
    </row>
    <row r="2" ht="25" customHeight="1">
      <c r="A2" s="6" t="inlineStr">
        <is>
          <t>ID</t>
        </is>
      </c>
      <c r="B2" s="6" t="inlineStr">
        <is>
          <t>Hovedkriterie</t>
        </is>
      </c>
      <c r="C2" s="6" t="inlineStr">
        <is>
          <t>Kontrolmål</t>
        </is>
      </c>
      <c r="D2" s="6" t="inlineStr">
        <is>
          <t>Detaljeret Beskrivelse / Krav</t>
        </is>
      </c>
      <c r="E2" s="6" t="inlineStr">
        <is>
          <t>Agentens Anbefalede Testspørgsmål</t>
        </is>
      </c>
      <c r="F2" s="6" t="inlineStr">
        <is>
          <t>Status</t>
        </is>
      </c>
      <c r="G2" s="6" t="inlineStr">
        <is>
          <t>Kommentarer &amp; Beviser (Input)</t>
        </is>
      </c>
      <c r="H2" s="6" t="inlineStr">
        <is>
          <t>Remediation / Handlingsplan (Input)</t>
        </is>
      </c>
    </row>
    <row r="3" ht="45" customHeight="1">
      <c r="A3" s="17" t="inlineStr">
        <is>
          <t>5.1.1</t>
        </is>
      </c>
      <c r="B3" s="10" t="inlineStr">
        <is>
          <t>Transparens &amp; kontrol med data</t>
        </is>
      </c>
      <c r="C3" s="10" t="inlineStr">
        <is>
          <t>Oplysningspligt</t>
        </is>
      </c>
      <c r="D3" s="18" t="inlineStr">
        <is>
          <t>Virksomheden skal opfylde sin oplysningspligt over for de registrerede, herunder udarbejde en klar og letforståelig privatlivspolitik integreret i produktet.</t>
        </is>
      </c>
      <c r="E3" s="19" t="inlineStr">
        <is>
          <t>Er der en klar og letforståelig privatlivspolitik tilgængelig i produktet, som oplyser om formål, retsgrundlag og modtagere af databehandlingen?</t>
        </is>
      </c>
      <c r="F3" s="20" t="inlineStr">
        <is>
          <t>Ikke påbegyndt</t>
        </is>
      </c>
      <c r="G3" s="4" t="inlineStr"/>
      <c r="H3" s="4" t="inlineStr"/>
    </row>
    <row r="4" ht="45" customHeight="1">
      <c r="A4" s="21" t="inlineStr">
        <is>
          <t>5.1.2</t>
        </is>
      </c>
      <c r="B4" s="22" t="inlineStr">
        <is>
          <t>Transparens &amp; kontrol med data</t>
        </is>
      </c>
      <c r="C4" s="22" t="inlineStr">
        <is>
          <t>Information om samarbejdspartnere</t>
        </is>
      </c>
      <c r="D4" s="23" t="inlineStr">
        <is>
          <t>Brugerne skal oplyses tydeligt om tredjeparter og samarbejdspartnere, som virksomheden deler personoplysninger og andre data med.</t>
        </is>
      </c>
      <c r="E4" s="24" t="inlineStr">
        <is>
          <t>Oplyser produktet eller privatlivspolitikken specifikt, hvilke eksterne partnere og databehandlere der modtager eller kan få adgang til brugernes data?</t>
        </is>
      </c>
      <c r="F4" s="20" t="inlineStr">
        <is>
          <t>Ikke påbegyndt</t>
        </is>
      </c>
      <c r="G4" s="4" t="inlineStr"/>
      <c r="H4" s="4" t="inlineStr"/>
    </row>
    <row r="5" ht="45" customHeight="1">
      <c r="A5" s="17" t="inlineStr">
        <is>
          <t>5.2.1</t>
        </is>
      </c>
      <c r="B5" s="10" t="inlineStr">
        <is>
          <t>Transparens &amp; kontrol med data</t>
        </is>
      </c>
      <c r="C5" s="10" t="inlineStr">
        <is>
          <t>Cookie-information &amp; -brugervenlighed</t>
        </is>
      </c>
      <c r="D5" s="18" t="inlineStr">
        <is>
          <t>Brugervenlig cookie-information og -administration skal sikre, at brugere nemt kan fravælge ikke-nødvendige cookies (f.eks. analytics/marketing) og let ændre samtykker.</t>
        </is>
      </c>
      <c r="E5" s="19" t="inlineStr">
        <is>
          <t>Sættes sporing- og marketingcookies først EFTER aktivt samtykke? Er der et let tilgængeligt cookie-dashboard til at ændre eller trække samtykke tilbage?</t>
        </is>
      </c>
      <c r="F5" s="20" t="inlineStr">
        <is>
          <t>Ikke påbegyndt</t>
        </is>
      </c>
      <c r="G5" s="4" t="inlineStr"/>
      <c r="H5" s="4" t="inlineStr"/>
    </row>
    <row r="6" ht="45" customHeight="1">
      <c r="A6" s="21" t="inlineStr">
        <is>
          <t>5.3.1</t>
        </is>
      </c>
      <c r="B6" s="22" t="inlineStr">
        <is>
          <t>Transparens &amp; kontrol med data</t>
        </is>
      </c>
      <c r="C6" s="22" t="inlineStr">
        <is>
          <t>Brugerkontrol</t>
        </is>
      </c>
      <c r="D6" s="23" t="inlineStr">
        <is>
          <t>Brugeren skal nemt kunne udøve sine registreredes rettigheder (indsigt, berigtigelse, sletning, trække samtykke tilbage) direkte via en brugervenlig grænseflade.</t>
        </is>
      </c>
      <c r="E6" s="24" t="inlineStr">
        <is>
          <t>Er der indbygget funktionalitet i produktet, hvor brugeren selv kan anmode om sletning, downloade sine data eller trække sit samtykke tilbage?</t>
        </is>
      </c>
      <c r="F6" s="20" t="inlineStr">
        <is>
          <t>Ikke påbegyndt</t>
        </is>
      </c>
      <c r="G6" s="4" t="inlineStr"/>
      <c r="H6" s="4" t="inlineStr"/>
    </row>
    <row r="7" ht="45" customHeight="1">
      <c r="A7" s="17" t="inlineStr">
        <is>
          <t>5.4.1</t>
        </is>
      </c>
      <c r="B7" s="10" t="inlineStr">
        <is>
          <t>Transparens &amp; kontrol med data</t>
        </is>
      </c>
      <c r="C7" s="10" t="inlineStr">
        <is>
          <t>Lettilgængelig klagevejledning</t>
        </is>
      </c>
      <c r="D7" s="18" t="inlineStr">
        <is>
          <t>Der skal foreligge en lettilgængelig vejledning til, hvordan brugere kan klage eller rapportere bekymringer over virksomhedens dataanvendelse eller it-sikkerhed.</t>
        </is>
      </c>
      <c r="E7" s="19" t="inlineStr">
        <is>
          <t>Er der en klar, dedikeret kontaktvej (fx en e-mailadresse eller formular) i produktet, hvor brugere kan rapportere sikkerhedsbrister eller klage over databehandling?</t>
        </is>
      </c>
      <c r="F7" s="20" t="inlineStr">
        <is>
          <t>Ikke påbegyndt</t>
        </is>
      </c>
      <c r="G7" s="4" t="inlineStr"/>
      <c r="H7" s="4" t="inlineStr"/>
    </row>
    <row r="8" ht="45" customHeight="1">
      <c r="A8" s="21" t="inlineStr">
        <is>
          <t>6.1.1</t>
        </is>
      </c>
      <c r="B8" s="22" t="inlineStr">
        <is>
          <t>Privacy &amp; Security by Design &amp; Default</t>
        </is>
      </c>
      <c r="C8" s="22" t="inlineStr">
        <is>
          <t>Risikovurdering</t>
        </is>
      </c>
      <c r="D8" s="23" t="inlineStr">
        <is>
          <t>Der skal udføres en struktureret risikovurdering (eller trusselsmodellering) vedrørende persondatabeskyttelse og sikkerhed i forbindelse med udvikling af produktet.</t>
        </is>
      </c>
      <c r="E8" s="24" t="inlineStr">
        <is>
          <t>Er der udarbejdet en dokumenteret risikovurdering for dette specifikke produkt, der kortlægger trusler mod de registreredes rettigheder og systemets integritet?</t>
        </is>
      </c>
      <c r="F8" s="20" t="inlineStr">
        <is>
          <t>Ikke påbegyndt</t>
        </is>
      </c>
      <c r="G8" s="4" t="inlineStr"/>
      <c r="H8" s="4" t="inlineStr"/>
    </row>
    <row r="9" ht="45" customHeight="1">
      <c r="A9" s="17" t="inlineStr">
        <is>
          <t>6.1.2</t>
        </is>
      </c>
      <c r="B9" s="10" t="inlineStr">
        <is>
          <t>Privacy &amp; Security by Design &amp; Default</t>
        </is>
      </c>
      <c r="C9" s="10" t="inlineStr">
        <is>
          <t>Tag stilling til sikkerhedsniveau</t>
        </is>
      </c>
      <c r="D9" s="18" t="inlineStr">
        <is>
          <t>Udviklingsteamet skal bevidst have defineret og dokumenteret det nødvendige sikkerhedsniveau baseret på, hvor følsomme de data, produktet behandler, er.</t>
        </is>
      </c>
      <c r="E9" s="19" t="inlineStr">
        <is>
          <t>Er der foretaget en formel dataklassifikation i produktet, og afspejler de valgte krypterings- og beskyttelsesniveauer datatypens følsomhed?</t>
        </is>
      </c>
      <c r="F9" s="20" t="inlineStr">
        <is>
          <t>Ikke påbegyndt</t>
        </is>
      </c>
      <c r="G9" s="4" t="inlineStr"/>
      <c r="H9" s="4" t="inlineStr"/>
    </row>
    <row r="10" ht="45" customHeight="1">
      <c r="A10" s="21" t="inlineStr">
        <is>
          <t>6.2.1</t>
        </is>
      </c>
      <c r="B10" s="22" t="inlineStr">
        <is>
          <t>Privacy &amp; Security by Design &amp; Default</t>
        </is>
      </c>
      <c r="C10" s="22" t="inlineStr">
        <is>
          <t>Minimering og begrænsning</t>
        </is>
      </c>
      <c r="D10" s="23" t="inlineStr">
        <is>
          <t>Produktet må kun indsamle og behandle de personoplysninger, der er strengt nødvendige. Data skal slettes automatisk, når formålet ophører.</t>
        </is>
      </c>
      <c r="E10" s="24" t="inlineStr">
        <is>
          <t>Indsamler produktet unødvendig data (fx lokation eller kontakter, der ikke kræves for kerneservicen)? Er der implementeret automatiske slette- og oprydningsrutiner?</t>
        </is>
      </c>
      <c r="F10" s="20" t="inlineStr">
        <is>
          <t>Ikke påbegyndt</t>
        </is>
      </c>
      <c r="G10" s="4" t="inlineStr"/>
      <c r="H10" s="4" t="inlineStr"/>
    </row>
    <row r="11" ht="45" customHeight="1">
      <c r="A11" s="17" t="inlineStr">
        <is>
          <t>6.2.2</t>
        </is>
      </c>
      <c r="B11" s="10" t="inlineStr">
        <is>
          <t>Privacy &amp; Security by Design &amp; Default</t>
        </is>
      </c>
      <c r="C11" s="10" t="inlineStr">
        <is>
          <t>Separering og skjul</t>
        </is>
      </c>
      <c r="D11" s="18" t="inlineStr">
        <is>
          <t>Personoplysninger skal holdes logisk eller fysisk adskilt fra andre driftsdata for at begrænse skaden ved datalæk. Følsomme data skal krypteres.</t>
        </is>
      </c>
      <c r="E11" s="19" t="inlineStr">
        <is>
          <t>Er personhenførbare data (PII) separeret i databasen frem for at ligge i samme tabeller som rå driftsdata? Er data krypteret 'at rest' og 'in transit'?</t>
        </is>
      </c>
      <c r="F11" s="20" t="inlineStr">
        <is>
          <t>Ikke påbegyndt</t>
        </is>
      </c>
      <c r="G11" s="4" t="inlineStr"/>
      <c r="H11" s="4" t="inlineStr"/>
    </row>
    <row r="12" ht="45" customHeight="1">
      <c r="A12" s="21" t="inlineStr">
        <is>
          <t>6.2.3</t>
        </is>
      </c>
      <c r="B12" s="22" t="inlineStr">
        <is>
          <t>Privacy &amp; Security by Design &amp; Default</t>
        </is>
      </c>
      <c r="C12" s="22" t="inlineStr">
        <is>
          <t>Aggregering</t>
        </is>
      </c>
      <c r="D12" s="23" t="inlineStr">
        <is>
          <t>Informationer skal præsenteres og behandles på det mest aggregerede niveau muligt for at forhindre unødig identifikation af enkeltpersoner.</t>
        </is>
      </c>
      <c r="E12" s="24" t="inlineStr">
        <is>
          <t>Anvender produktet statistiske eller aggregerede visninger og anonymiserede logfiler for at undgå at udstille individuelle brugeres rå datamønstre?</t>
        </is>
      </c>
      <c r="F12" s="20" t="inlineStr">
        <is>
          <t>Ikke påbegyndt</t>
        </is>
      </c>
      <c r="G12" s="4" t="inlineStr"/>
      <c r="H12" s="4" t="inlineStr"/>
    </row>
    <row r="13" ht="45" customHeight="1">
      <c r="A13" s="17" t="inlineStr">
        <is>
          <t>6.2.4</t>
        </is>
      </c>
      <c r="B13" s="10" t="inlineStr">
        <is>
          <t>Privacy &amp; Security by Design &amp; Default</t>
        </is>
      </c>
      <c r="C13" s="10" t="inlineStr">
        <is>
          <t>Persondatabeskyttelse by default</t>
        </is>
      </c>
      <c r="D13" s="18" t="inlineStr">
        <is>
          <t>De mest privatlivsbeskyttende indstillinger skal være aktive som standard. Brugeren skal foretage aktivt tilvalg (opt-in) for at dele mere data.</t>
        </is>
      </c>
      <c r="E13" s="19" t="inlineStr">
        <is>
          <t>Er tracking, analytics og tredjeparts-datadelingsfunktioner deaktiveret som standard, når en ny bruger installerer eller tilgår produktet?</t>
        </is>
      </c>
      <c r="F13" s="20" t="inlineStr">
        <is>
          <t>Ikke påbegyndt</t>
        </is>
      </c>
      <c r="G13" s="4" t="inlineStr"/>
      <c r="H13" s="4" t="inlineStr"/>
    </row>
    <row r="14" ht="45" customHeight="1">
      <c r="A14" s="21" t="inlineStr">
        <is>
          <t>6.2.5</t>
        </is>
      </c>
      <c r="B14" s="22" t="inlineStr">
        <is>
          <t>Privacy &amp; Security by Design &amp; Default</t>
        </is>
      </c>
      <c r="C14" s="22" t="inlineStr">
        <is>
          <t>Fuld funktionalitet</t>
        </is>
      </c>
      <c r="D14" s="23" t="inlineStr">
        <is>
          <t>Produktets kernefunktionalitet må ikke gøres betinget af, at brugeren accepterer unødvendig dataindsamling, tracking eller valgfrie samtykker.</t>
        </is>
      </c>
      <c r="E14" s="24" t="inlineStr">
        <is>
          <t>Fungerer produktets primære services fuldt ud, selvom en bruger vælger de mest restriktive privatlivsindstillinger og afviser valgfri sporing?</t>
        </is>
      </c>
      <c r="F14" s="20" t="inlineStr">
        <is>
          <t>Ikke påbegyndt</t>
        </is>
      </c>
      <c r="G14" s="4" t="inlineStr"/>
      <c r="H14" s="4" t="inlineStr"/>
    </row>
    <row r="15" ht="45" customHeight="1">
      <c r="A15" s="17" t="inlineStr">
        <is>
          <t>6.3.1</t>
        </is>
      </c>
      <c r="B15" s="10" t="inlineStr">
        <is>
          <t>Privacy &amp; Security by Design &amp; Default</t>
        </is>
      </c>
      <c r="C15" s="10" t="inlineStr">
        <is>
          <t>Minimer angrebsflader</t>
        </is>
      </c>
      <c r="D15" s="18" t="inlineStr">
        <is>
          <t>Produktet skal designes med så lille en angrebsflade som muligt. Unødvendige services, debug-interfaces og endpoints skal være fjernet.</t>
        </is>
      </c>
      <c r="E15" s="19" t="inlineStr">
        <is>
          <t>Er alle debug- og test-endpoints fjernet fra produktionskoden? Er det udelukkende de absolut nødvendige netværksporte og API'er, der er eksponeret?</t>
        </is>
      </c>
      <c r="F15" s="20" t="inlineStr">
        <is>
          <t>Ikke påbegyndt</t>
        </is>
      </c>
      <c r="G15" s="4" t="inlineStr"/>
      <c r="H15" s="4" t="inlineStr"/>
    </row>
    <row r="16" ht="45" customHeight="1">
      <c r="A16" s="21" t="inlineStr">
        <is>
          <t>6.3.2</t>
        </is>
      </c>
      <c r="B16" s="22" t="inlineStr">
        <is>
          <t>Privacy &amp; Security by Design &amp; Default</t>
        </is>
      </c>
      <c r="C16" s="22" t="inlineStr">
        <is>
          <t>Sikkerhed by default</t>
        </is>
      </c>
      <c r="D16" s="23" t="inlineStr">
        <is>
          <t>Produktet skal fødes med stærke sikkerhedsindstillinger (fx tvungen HTTPS, krav om stærke passwords, automatiske sessionsudløb).</t>
        </is>
      </c>
      <c r="E16" s="24" t="inlineStr">
        <is>
          <t>Tvinger systemet brugere til at vælge stærke adgangskoder? Er to-faktor-godkendelse (2FA) slået til eller let tilgængeligt for alle brugere?</t>
        </is>
      </c>
      <c r="F16" s="20" t="inlineStr">
        <is>
          <t>Ikke påbegyndt</t>
        </is>
      </c>
      <c r="G16" s="4" t="inlineStr"/>
      <c r="H16" s="4" t="inlineStr"/>
    </row>
    <row r="17" ht="45" customHeight="1">
      <c r="A17" s="17" t="inlineStr">
        <is>
          <t>6.3.3</t>
        </is>
      </c>
      <c r="B17" s="10" t="inlineStr">
        <is>
          <t>Privacy &amp; Security by Design &amp; Default</t>
        </is>
      </c>
      <c r="C17" s="10" t="inlineStr">
        <is>
          <t>Rettighedsstyring</t>
        </is>
      </c>
      <c r="D17" s="18" t="inlineStr">
        <is>
          <t>Både brugere og interne systemprocesser må udelukkende tildeles de adgange og rettigheder, der er strengt nødvendige for deres funktion (Least Privilege).</t>
        </is>
      </c>
      <c r="E17" s="19" t="inlineStr">
        <is>
          <t>Er der implementeret rollebaseret adgangskontrol (RBAC)? Har systemets interne databaser og mikrotjenester kun de absolut minimale rettigheder?</t>
        </is>
      </c>
      <c r="F17" s="20" t="inlineStr">
        <is>
          <t>Ikke påbegyndt</t>
        </is>
      </c>
      <c r="G17" s="4" t="inlineStr"/>
      <c r="H17" s="4" t="inlineStr"/>
    </row>
    <row r="18" ht="45" customHeight="1">
      <c r="A18" s="21" t="inlineStr">
        <is>
          <t>6.3.4</t>
        </is>
      </c>
      <c r="B18" s="22" t="inlineStr">
        <is>
          <t>Privacy &amp; Security by Design &amp; Default</t>
        </is>
      </c>
      <c r="C18" s="22" t="inlineStr">
        <is>
          <t>Kontrol af kode</t>
        </is>
      </c>
      <c r="D18" s="23" t="inlineStr">
        <is>
          <t>Der skal være en fast proces for løbende scanning og kontrol af egen kode (SAST/DAST) samt tredjeparts open source-biblioteker (SCA).</t>
        </is>
      </c>
      <c r="E18" s="24" t="inlineStr">
        <is>
          <t>Anvender I automatiske scanningsværktøjer til at opdage sårbarheder i eksterne pakker og biblioteker? Gennemgår al kode peer-review før release?</t>
        </is>
      </c>
      <c r="F18" s="20" t="inlineStr">
        <is>
          <t>Ikke påbegyndt</t>
        </is>
      </c>
      <c r="G18" s="4" t="inlineStr"/>
      <c r="H18" s="4" t="inlineStr"/>
    </row>
    <row r="19" ht="45" customHeight="1">
      <c r="A19" s="17" t="inlineStr">
        <is>
          <t>6.4.1</t>
        </is>
      </c>
      <c r="B19" s="10" t="inlineStr">
        <is>
          <t>Privacy &amp; Security by Design &amp; Default</t>
        </is>
      </c>
      <c r="C19" s="10" t="inlineStr">
        <is>
          <t>Udviklingsprocessen</t>
        </is>
      </c>
      <c r="D19" s="18" t="inlineStr">
        <is>
          <t>It-sikkerhed og persondatabeskyttelse skal være integreret i hele softwareudviklingens livscyklus (SDLC) og indgå i teamets 'Definition of Done'.</t>
        </is>
      </c>
      <c r="E19" s="19" t="inlineStr">
        <is>
          <t>Er sikkerheds- og privatlivstest en systematisk og fastlagt del af jeres CI/CD-pipeline og release-krav for alle nye produktfunktioner?</t>
        </is>
      </c>
      <c r="F19" s="20" t="inlineStr">
        <is>
          <t>Ikke påbegyndt</t>
        </is>
      </c>
      <c r="G19" s="4" t="inlineStr"/>
      <c r="H19" s="4" t="inlineStr"/>
    </row>
    <row r="20" ht="45" customHeight="1">
      <c r="A20" s="21" t="inlineStr">
        <is>
          <t>7.1.1</t>
        </is>
      </c>
      <c r="B20" s="22" t="inlineStr">
        <is>
          <t>Pålidelige algoritmer &amp; AI</t>
        </is>
      </c>
      <c r="C20" s="22" t="inlineStr">
        <is>
          <t>Risikovurdering</t>
        </is>
      </c>
      <c r="D20" s="23" t="inlineStr">
        <is>
          <t>Der skal foretages en risikovurdering af algoritmens eller AI-modellens samfundsmæssige, etiske og menneskelige konsekvenser før ibrugtagning.</t>
        </is>
      </c>
      <c r="E20" s="24" t="inlineStr">
        <is>
          <t>Er der udarbejdet en dokumenteret risikovurdering, som specifikt ser på bias, diskrimination og uretfærdighed i algoritmens resultater?</t>
        </is>
      </c>
      <c r="F20" s="20" t="inlineStr">
        <is>
          <t>Ikke påbegyndt</t>
        </is>
      </c>
      <c r="G20" s="4" t="inlineStr"/>
      <c r="H20" s="4" t="inlineStr"/>
    </row>
    <row r="21" ht="45" customHeight="1">
      <c r="A21" s="17" t="inlineStr">
        <is>
          <t>7.1.2</t>
        </is>
      </c>
      <c r="B21" s="10" t="inlineStr">
        <is>
          <t>Pålidelige algoritmer &amp; AI</t>
        </is>
      </c>
      <c r="C21" s="10" t="inlineStr">
        <is>
          <t>Interessentinddragelse</t>
        </is>
      </c>
      <c r="D21" s="18" t="inlineStr">
        <is>
          <t>Relevante eksterne og interne interessenter skal inddrages i designet og evalueringen af algoritmer og AI-systemer.</t>
        </is>
      </c>
      <c r="E21" s="19" t="inlineStr">
        <is>
          <t>Er repræsentanter for de berørte slutbrugere eller domæneeksperter blevet hørt for at minimere utilsigtede konsekvenser af AI-systemet?</t>
        </is>
      </c>
      <c r="F21" s="20" t="inlineStr">
        <is>
          <t>Ikke påbegyndt</t>
        </is>
      </c>
      <c r="G21" s="4" t="inlineStr"/>
      <c r="H21" s="4" t="inlineStr"/>
    </row>
    <row r="22" ht="45" customHeight="1">
      <c r="A22" s="21" t="inlineStr">
        <is>
          <t>7.1.3</t>
        </is>
      </c>
      <c r="B22" s="22" t="inlineStr">
        <is>
          <t>Pålidelige algoritmer &amp; AI</t>
        </is>
      </c>
      <c r="C22" s="22" t="inlineStr">
        <is>
          <t>Informationspligt &amp; gennemsigtighed</t>
        </is>
      </c>
      <c r="D22" s="23" t="inlineStr">
        <is>
          <t>Brugere skal oplyses tydeligt om, at de interagerer med en algoritme/AI, og have letforståelig information om beslutningslogikken.</t>
        </is>
      </c>
      <c r="E22" s="24" t="inlineStr">
        <is>
          <t>Giver produktet brugerne klar besked om, hvornår en beslutning er truffet automatisk af en algoritme, og hvilke parametre der vægtede højest?</t>
        </is>
      </c>
      <c r="F22" s="20" t="inlineStr">
        <is>
          <t>Ikke påbegyndt</t>
        </is>
      </c>
      <c r="G22" s="4" t="inlineStr"/>
      <c r="H22" s="4" t="inlineStr"/>
    </row>
    <row r="23" ht="45" customHeight="1">
      <c r="A23" s="17" t="inlineStr">
        <is>
          <t>7.1.4</t>
        </is>
      </c>
      <c r="B23" s="10" t="inlineStr">
        <is>
          <t>Pålidelige algoritmer &amp; AI</t>
        </is>
      </c>
      <c r="C23" s="10" t="inlineStr">
        <is>
          <t>Udfordringsret</t>
        </is>
      </c>
      <c r="D23" s="18" t="inlineStr">
        <is>
          <t>Registrerede skal have ret til og mulighed for at få en automatiseret AI-afgørelse genvurderet af et menneske (Human-in-the-loop).</t>
        </is>
      </c>
      <c r="E23" s="19" t="inlineStr">
        <is>
          <t>Er der en nem knap eller funktion i produktet, hvor brugeren kan anmode om manuel menneskelig behandling af en automatisk afgørelse?</t>
        </is>
      </c>
      <c r="F23" s="20" t="inlineStr">
        <is>
          <t>Ikke påbegyndt</t>
        </is>
      </c>
      <c r="G23" s="4" t="inlineStr"/>
      <c r="H23" s="4" t="inlineStr"/>
    </row>
    <row r="24" ht="45" customHeight="1">
      <c r="A24" s="21" t="inlineStr">
        <is>
          <t>7.1.5</t>
        </is>
      </c>
      <c r="B24" s="22" t="inlineStr">
        <is>
          <t>Pålidelige algoritmer &amp; AI</t>
        </is>
      </c>
      <c r="C24" s="22" t="inlineStr">
        <is>
          <t>Nødstop</t>
        </is>
      </c>
      <c r="D24" s="23" t="inlineStr">
        <is>
          <t>Der skal være implementeret en teknisk eller organisatorisk nødbremse (nødstop), så algoritmen/AI-modellen kan deaktiveres øjeblikkeligt.</t>
        </is>
      </c>
      <c r="E24" s="24" t="inlineStr">
        <is>
          <t>Findes der en etableret proces og et teknisk nødstop, der øjeblikkeligt kan afbryde algoritmen, hvis den begynder at levere fejlbehæftede svar?</t>
        </is>
      </c>
      <c r="F24" s="20" t="inlineStr">
        <is>
          <t>Ikke påbegyndt</t>
        </is>
      </c>
      <c r="G24" s="4" t="inlineStr"/>
      <c r="H24" s="4" t="inlineStr"/>
    </row>
    <row r="25" ht="45" customHeight="1">
      <c r="A25" s="17" t="inlineStr">
        <is>
          <t>7.2.1</t>
        </is>
      </c>
      <c r="B25" s="10" t="inlineStr">
        <is>
          <t>Pålidelige algoritmer &amp; AI</t>
        </is>
      </c>
      <c r="C25" s="10" t="inlineStr">
        <is>
          <t>Inferensmetode &amp; forklarlighed</t>
        </is>
      </c>
      <c r="D25" s="18" t="inlineStr">
        <is>
          <t>Valg af beregningsmetoder og AI-modeller skal ske under hensyntagen til behovet for gennemsigtighed og forklarlighed.</t>
        </is>
      </c>
      <c r="E25" s="19" t="inlineStr">
        <is>
          <t>Er AI-modellen valgt på en måde, hvor dens konklusioner og vægtninger kan spores og forklares, frem for at fungere som en ren 'black box'?</t>
        </is>
      </c>
      <c r="F25" s="20" t="inlineStr">
        <is>
          <t>Ikke påbegyndt</t>
        </is>
      </c>
      <c r="G25" s="4" t="inlineStr"/>
      <c r="H25" s="4" t="inlineStr"/>
    </row>
    <row r="26" ht="45" customHeight="1">
      <c r="A26" s="21" t="inlineStr">
        <is>
          <t>7.2.2</t>
        </is>
      </c>
      <c r="B26" s="22" t="inlineStr">
        <is>
          <t>Pålidelige algoritmer &amp; AI</t>
        </is>
      </c>
      <c r="C26" s="22" t="inlineStr">
        <is>
          <t>Højkvalitetsdatagrundlag</t>
        </is>
      </c>
      <c r="D26" s="23" t="inlineStr">
        <is>
          <t>Modellerne skal trænes og valideres på et datagrundlag af høj kvalitet, som er repræsentativt, opdateret og fri for systematiske skævheder.</t>
        </is>
      </c>
      <c r="E26" s="24" t="inlineStr">
        <is>
          <t>Er der foretaget systematiske bias- og repræsentativitetstests af de datasæt, der bruges til at træne og fintune algoritmens modeller?</t>
        </is>
      </c>
      <c r="F26" s="20" t="inlineStr">
        <is>
          <t>Ikke påbegyndt</t>
        </is>
      </c>
      <c r="G26" s="4" t="inlineStr"/>
      <c r="H26" s="4" t="inlineStr"/>
    </row>
    <row r="27" ht="45" customHeight="1">
      <c r="A27" s="17" t="inlineStr">
        <is>
          <t>7.2.3</t>
        </is>
      </c>
      <c r="B27" s="10" t="inlineStr">
        <is>
          <t>Pålidelige algoritmer &amp; AI</t>
        </is>
      </c>
      <c r="C27" s="10" t="inlineStr">
        <is>
          <t>Kontinuerlig evaluering</t>
        </is>
      </c>
      <c r="D27" s="18" t="inlineStr">
        <is>
          <t>Algoritmens logik og datakvalitet skal evalueres og overvåges kontinuerligt for at opdage 'model drift' eller faldende præcision.</t>
        </is>
      </c>
      <c r="E27" s="19" t="inlineStr">
        <is>
          <t>Sker der en løbende, automatiseret overvågning af AI-systemets præcision i produktion, og er der fastlagt grænser for, hvornår den skal gen-trænes?</t>
        </is>
      </c>
      <c r="F27" s="20" t="inlineStr">
        <is>
          <t>Ikke påbegyndt</t>
        </is>
      </c>
      <c r="G27" s="4" t="inlineStr"/>
      <c r="H27" s="4" t="inlineStr"/>
    </row>
    <row r="28" ht="45" customHeight="1">
      <c r="A28" s="21" t="inlineStr">
        <is>
          <t>7.3.1</t>
        </is>
      </c>
      <c r="B28" s="22" t="inlineStr">
        <is>
          <t>Pålidelige algoritmer &amp; AI</t>
        </is>
      </c>
      <c r="C28" s="22" t="inlineStr">
        <is>
          <t>Implementering i udvikling</t>
        </is>
      </c>
      <c r="D28" s="23" t="inlineStr">
        <is>
          <t>De etiske og tekniske AI-krav skal være tænkt ind som en fastlagt del af udviklingsprocessen på linje med øvrig systemudvikling.</t>
        </is>
      </c>
      <c r="E28" s="24" t="inlineStr">
        <is>
          <t>Er algoritmisk ansvarlighed, bias-kontrol og datakvalitetssikring en integreret del af jeres standardiserede AI/ML-opsætning (MLOps)?</t>
        </is>
      </c>
      <c r="F28" s="20" t="inlineStr">
        <is>
          <t>Ikke påbegyndt</t>
        </is>
      </c>
      <c r="G28" s="4" t="inlineStr"/>
      <c r="H28" s="4" t="inlineStr"/>
    </row>
    <row r="29" ht="45" customHeight="1">
      <c r="A29" s="17" t="inlineStr">
        <is>
          <t>8.1.1</t>
        </is>
      </c>
      <c r="B29" s="10" t="inlineStr">
        <is>
          <t>Dataetik</t>
        </is>
      </c>
      <c r="C29" s="10" t="inlineStr">
        <is>
          <t>Dataetiske overvejelser</t>
        </is>
      </c>
      <c r="D29" s="18" t="inlineStr">
        <is>
          <t>Virksomheden skal udfylde og dokumentere dataetiske overvejelser med udgangspunkt i de eksternt rettede produktaktiviteter.</t>
        </is>
      </c>
      <c r="E29" s="19" t="inlineStr">
        <is>
          <t>Har virksomheden formelt gennemgået D-mærkets skema til dataetiske overvejelser for dette produkt og sikret, at mennesket er i centrum?</t>
        </is>
      </c>
      <c r="F29" s="20" t="inlineStr">
        <is>
          <t>Ikke påbegyndt</t>
        </is>
      </c>
      <c r="G29" s="4" t="inlineStr"/>
      <c r="H29" s="4" t="inlineStr"/>
    </row>
  </sheetData>
  <mergeCells count="2">
    <mergeCell ref="A1:E1"/>
    <mergeCell ref="F1:H1"/>
  </mergeCells>
  <conditionalFormatting sqref="F3:F29">
    <cfRule type="cellIs" priority="1" operator="equal" dxfId="0" stopIfTrue="1">
      <formula>"Implementeret"</formula>
    </cfRule>
    <cfRule type="cellIs" priority="2" operator="equal" dxfId="1" stopIfTrue="1">
      <formula>"I gang"</formula>
    </cfRule>
    <cfRule type="cellIs" priority="3" operator="equal" dxfId="2" stopIfTrue="1">
      <formula>"Ikke påbegyndt"</formula>
    </cfRule>
    <cfRule type="cellIs" priority="4" operator="equal" dxfId="3" stopIfTrue="1">
      <formula>"Ikke relevant"</formula>
    </cfRule>
  </conditionalFormatting>
  <dataValidations count="1">
    <dataValidation sqref="F3:F29" showDropDown="0" showInputMessage="0" showErrorMessage="0" allowBlank="1" errorTitle="Ugyldig status" error="Værdien skal være fra listen" promptTitle="Status" prompt="Vælg status fra listen" type="list">
      <formula1>"Ikke påbegyndt,I gang,Implementeret,Ikke 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2026-06-18T12:05:09Z</dcterms:created>
  <dcterms:modified xmlns:dcterms="http://purl.org/dc/terms/" xmlns:xsi="http://www.w3.org/2001/XMLSchema-instance" xsi:type="dcterms:W3CDTF">2026-06-18T12:05:09Z</dcterms:modified>
</cp:coreProperties>
</file>